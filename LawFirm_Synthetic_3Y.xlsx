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Revenue" sheetId="1" state="visible" r:id="rId3"/>
    <sheet name="Annual Summary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<sst xmlns="http://schemas.openxmlformats.org/spreadsheetml/2006/main" count="88" uniqueCount="43">
  <si>
    <t xml:space="preserve">Law Firm — Monthly Revenue Data (2022–2025)</t>
  </si>
  <si>
    <t xml:space="preserve">Synthetic dataset for forecasting model comparison | Source: Generated, Mar 2025</t>
  </si>
  <si>
    <t xml:space="preserve">Date</t>
  </si>
  <si>
    <t xml:space="preserve">Year</t>
  </si>
  <si>
    <t xml:space="preserve">Month</t>
  </si>
  <si>
    <t xml:space="preserve">Month Name</t>
  </si>
  <si>
    <t xml:space="preserve">Revenue (EUR)</t>
  </si>
  <si>
    <t xml:space="preserve">No. Cases</t>
  </si>
  <si>
    <t xml:space="preserve">Avg Fee (EUR)</t>
  </si>
  <si>
    <t xml:space="preserve">YoY Growth</t>
  </si>
  <si>
    <t xml:space="preserve">Jan</t>
  </si>
  <si>
    <t xml:space="preserve">-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</si>
  <si>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</si>
  <si>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</si>
  <si>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</si>
  <si>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</si>
  <si>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</si>
  <si>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</si>
  <si>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</si>
  <si>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</si>
  <si>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</si>
  <si>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</si>
  <si>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</si>
  <si>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Summary</t>
  </si>
  <si>
    <t xml:space="preserve">Total Revenue</t>
  </si>
  <si>
    <t xml:space="preserve">Avg Monthly Rev</t>
  </si>
  <si>
    <t xml:space="preserve">Avg Fee</t>
  </si>
  <si>
    <t xml:space="preserve">Model Assumptions</t>
  </si>
  <si>
    <t xml:space="preserve">Base monthly revenue (€)</t>
  </si>
  <si>
    <t xml:space="preserve">Annual growth rate</t>
  </si>
  <si>
    <t xml:space="preserve">10%</t>
  </si>
  <si>
    <t xml:space="preserve">Revenue noise (std dev)</t>
  </si>
  <si>
    <t xml:space="preserve">12% of base</t>
  </si>
  <si>
    <t xml:space="preserve">Seasonal profile</t>
  </si>
  <si>
    <t xml:space="preserve">Greek law firm</t>
  </si>
  <si>
    <t xml:space="preserve">Aug index (courts closed)</t>
  </si>
  <si>
    <t xml:space="preserve">Oct index (autumn peak)</t>
  </si>
  <si>
    <t xml:space="preserve">Dec index (year-end peak)</t>
  </si>
  <si>
    <t xml:space="preserve">Dataset period</t>
  </si>
  <si>
    <t xml:space="preserve">Jan 2022 – Jun 2025</t>
  </si>
  <si>
    <t xml:space="preserve">Total months</t>
  </si>
  <si>
    <t xml:space="preserve">Intended use</t>
  </si>
  <si>
    <t xml:space="preserve">Forecasting model comparison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</si>
</sst>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yyyy"/>
    <numFmt numFmtId="166" formatCode="\€#,##0;&quot;(€&quot;#,##0\);\-"/>
    <numFmt numFmtId="167" formatCode="0.0%;\-0.0%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44562</v>
      </c>
      <c r="B5" s="5" t="n">
        <v>2022</v>
      </c>
      <c r="C5" s="5" t="n">
        <v>1</v>
      </c>
      <c r="D5" s="6" t="s">
        <v>10</v>
      </c>
      <c r="E5" s="7" t="n">
        <v>85300</v>
      </c>
      <c r="F5" s="5" t="n">
        <v>18</v>
      </c>
      <c r="G5" s="7" t="n">
        <v>4740</v>
      </c>
      <c r="H5" s="5" t="s">
        <v>11</v>
      </c>
    </row>
    <row r="6" customFormat="false" ht="15" hidden="false" customHeight="false" outlineLevel="0" collapsed="false">
      <c r="A6" s="8" t="n">
        <v>44593</v>
      </c>
      <c r="B6" s="9" t="n">
        <v>2022</v>
      </c>
      <c r="C6" s="9" t="n">
        <v>2</v>
      </c>
      <c r="D6" s="10" t="s">
        <v>12</v>
      </c>
      <c r="E6" s="11" t="n">
        <v>79200</v>
      </c>
      <c r="F6" s="9" t="n">
        <v>20</v>
      </c>
      <c r="G6" s="11" t="n">
        <v>3960</v>
      </c>
      <c r="H6" s="9" t="s">
        <v>11</v>
      </c>
    </row>
    <row r="7" customFormat="false" ht="15" hidden="false" customHeight="false" outlineLevel="0" collapsed="false">
      <c r="A7" s="4" t="n">
        <v>44621</v>
      </c>
      <c r="B7" s="5" t="n">
        <v>2022</v>
      </c>
      <c r="C7" s="5" t="n">
        <v>3</v>
      </c>
      <c r="D7" s="6" t="s">
        <v>13</v>
      </c>
      <c r="E7" s="7" t="n">
        <v>74800</v>
      </c>
      <c r="F7" s="5" t="n">
        <v>16</v>
      </c>
      <c r="G7" s="7" t="n">
        <v>4680</v>
      </c>
      <c r="H7" s="5" t="s">
        <v>11</v>
      </c>
    </row>
    <row r="8" customFormat="false" ht="15" hidden="false" customHeight="false" outlineLevel="0" collapsed="false">
      <c r="A8" s="8" t="n">
        <v>44652</v>
      </c>
      <c r="B8" s="9" t="n">
        <v>2022</v>
      </c>
      <c r="C8" s="9" t="n">
        <v>4</v>
      </c>
      <c r="D8" s="10" t="s">
        <v>14</v>
      </c>
      <c r="E8" s="11" t="n">
        <v>79100</v>
      </c>
      <c r="F8" s="9" t="n">
        <v>19</v>
      </c>
      <c r="G8" s="11" t="n">
        <v>4160</v>
      </c>
      <c r="H8" s="9" t="s">
        <v>11</v>
      </c>
    </row>
    <row r="9" customFormat="false" ht="15" hidden="false" customHeight="false" outlineLevel="0" collapsed="false">
      <c r="A9" s="4" t="n">
        <v>44682</v>
      </c>
      <c r="B9" s="5" t="n">
        <v>2022</v>
      </c>
      <c r="C9" s="5" t="n">
        <v>5</v>
      </c>
      <c r="D9" s="6" t="s">
        <v>15</v>
      </c>
      <c r="E9" s="7" t="n">
        <v>59500</v>
      </c>
      <c r="F9" s="5" t="n">
        <v>14</v>
      </c>
      <c r="G9" s="7" t="n">
        <v>4250</v>
      </c>
      <c r="H9" s="5" t="s">
        <v>11</v>
      </c>
    </row>
    <row r="10" customFormat="false" ht="15" hidden="false" customHeight="false" outlineLevel="0" collapsed="false">
      <c r="A10" s="8" t="n">
        <v>44713</v>
      </c>
      <c r="B10" s="9" t="n">
        <v>2022</v>
      </c>
      <c r="C10" s="9" t="n">
        <v>6</v>
      </c>
      <c r="D10" s="10" t="s">
        <v>16</v>
      </c>
      <c r="E10" s="11" t="n">
        <v>49600</v>
      </c>
      <c r="F10" s="9" t="n">
        <v>10</v>
      </c>
      <c r="G10" s="11" t="n">
        <v>4960</v>
      </c>
      <c r="H10" s="9" t="s">
        <v>11</v>
      </c>
    </row>
    <row r="11" customFormat="false" ht="15" hidden="false" customHeight="false" outlineLevel="0" collapsed="false">
      <c r="A11" s="4" t="n">
        <v>44743</v>
      </c>
      <c r="B11" s="5" t="n">
        <v>2022</v>
      </c>
      <c r="C11" s="5" t="n">
        <v>7</v>
      </c>
      <c r="D11" s="6" t="s">
        <v>17</v>
      </c>
      <c r="E11" s="7" t="n">
        <v>32400</v>
      </c>
      <c r="F11" s="5" t="n">
        <v>3</v>
      </c>
      <c r="G11" s="7" t="n">
        <v>10800</v>
      </c>
      <c r="H11" s="5" t="s">
        <v>11</v>
      </c>
    </row>
    <row r="12" customFormat="false" ht="15" hidden="false" customHeight="false" outlineLevel="0" collapsed="false">
      <c r="A12" s="8" t="n">
        <v>44774</v>
      </c>
      <c r="B12" s="9" t="n">
        <v>2022</v>
      </c>
      <c r="C12" s="9" t="n">
        <v>8</v>
      </c>
      <c r="D12" s="10" t="s">
        <v>18</v>
      </c>
      <c r="E12" s="11" t="n">
        <v>19400</v>
      </c>
      <c r="F12" s="9" t="n">
        <v>3</v>
      </c>
      <c r="G12" s="11" t="n">
        <v>6470</v>
      </c>
      <c r="H12" s="9" t="s">
        <v>11</v>
      </c>
    </row>
    <row r="13" customFormat="false" ht="15" hidden="false" customHeight="false" outlineLevel="0" collapsed="false">
      <c r="A13" s="4" t="n">
        <v>44805</v>
      </c>
      <c r="B13" s="5" t="n">
        <v>2022</v>
      </c>
      <c r="C13" s="5" t="n">
        <v>9</v>
      </c>
      <c r="D13" s="6" t="s">
        <v>19</v>
      </c>
      <c r="E13" s="7" t="n">
        <v>73800</v>
      </c>
      <c r="F13" s="5" t="n">
        <v>17</v>
      </c>
      <c r="G13" s="7" t="n">
        <v>4340</v>
      </c>
      <c r="H13" s="5" t="s">
        <v>11</v>
      </c>
    </row>
    <row r="14" customFormat="false" ht="15" hidden="false" customHeight="false" outlineLevel="0" collapsed="false">
      <c r="A14" s="8" t="n">
        <v>44835</v>
      </c>
      <c r="B14" s="9" t="n">
        <v>2022</v>
      </c>
      <c r="C14" s="9" t="n">
        <v>10</v>
      </c>
      <c r="D14" s="10" t="s">
        <v>20</v>
      </c>
      <c r="E14" s="11" t="n">
        <v>78000</v>
      </c>
      <c r="F14" s="9" t="n">
        <v>14</v>
      </c>
      <c r="G14" s="11" t="n">
        <v>5570</v>
      </c>
      <c r="H14" s="9" t="s">
        <v>11</v>
      </c>
    </row>
    <row r="15" customFormat="false" ht="15" hidden="false" customHeight="false" outlineLevel="0" collapsed="false">
      <c r="A15" s="4" t="n">
        <v>44866</v>
      </c>
      <c r="B15" s="5" t="n">
        <v>2022</v>
      </c>
      <c r="C15" s="5" t="n">
        <v>11</v>
      </c>
      <c r="D15" s="6" t="s">
        <v>21</v>
      </c>
      <c r="E15" s="7" t="n">
        <v>82300</v>
      </c>
      <c r="F15" s="5" t="n">
        <v>17</v>
      </c>
      <c r="G15" s="7" t="n">
        <v>4840</v>
      </c>
      <c r="H15" s="5" t="s">
        <v>11</v>
      </c>
    </row>
    <row r="16" customFormat="false" ht="15" hidden="false" customHeight="false" outlineLevel="0" collapsed="false">
      <c r="A16" s="8" t="n">
        <v>44896</v>
      </c>
      <c r="B16" s="9" t="n">
        <v>2022</v>
      </c>
      <c r="C16" s="9" t="n">
        <v>12</v>
      </c>
      <c r="D16" s="10" t="s">
        <v>22</v>
      </c>
      <c r="E16" s="11" t="n">
        <v>91700</v>
      </c>
      <c r="F16" s="9" t="n">
        <v>17</v>
      </c>
      <c r="G16" s="11" t="n">
        <v>5390</v>
      </c>
      <c r="H16" s="9" t="s">
        <v>11</v>
      </c>
    </row>
    <row r="17" customFormat="false" ht="15" hidden="false" customHeight="false" outlineLevel="0" collapsed="false">
      <c r="A17" s="4" t="n">
        <v>44927</v>
      </c>
      <c r="B17" s="5" t="n">
        <v>2023</v>
      </c>
      <c r="C17" s="5" t="n">
        <v>1</v>
      </c>
      <c r="D17" s="6" t="s">
        <v>10</v>
      </c>
      <c r="E17" s="7" t="n">
        <v>82800</v>
      </c>
      <c r="F17" s="5" t="n">
        <v>18</v>
      </c>
      <c r="G17" s="7" t="n">
        <v>4600</v>
      </c>
      <c r="H17" s="12" t="n">
        <f aca="false">(E17-E5)/E5</f>
        <v>-0.0293083235638921</v>
      </c>
    </row>
    <row r="18" customFormat="false" ht="15" hidden="false" customHeight="false" outlineLevel="0" collapsed="false">
      <c r="A18" s="8" t="n">
        <v>44958</v>
      </c>
      <c r="B18" s="9" t="n">
        <v>2023</v>
      </c>
      <c r="C18" s="9" t="n">
        <v>2</v>
      </c>
      <c r="D18" s="10" t="s">
        <v>12</v>
      </c>
      <c r="E18" s="11" t="n">
        <v>69700</v>
      </c>
      <c r="F18" s="9" t="n">
        <v>16</v>
      </c>
      <c r="G18" s="11" t="n">
        <v>4360</v>
      </c>
      <c r="H18" s="13" t="n">
        <f aca="false">(E18-E6)/E6</f>
        <v>-0.119949494949495</v>
      </c>
    </row>
    <row r="19" customFormat="false" ht="15" hidden="false" customHeight="false" outlineLevel="0" collapsed="false">
      <c r="A19" s="4" t="n">
        <v>44986</v>
      </c>
      <c r="B19" s="5" t="n">
        <v>2023</v>
      </c>
      <c r="C19" s="5" t="n">
        <v>3</v>
      </c>
      <c r="D19" s="6" t="s">
        <v>13</v>
      </c>
      <c r="E19" s="7" t="n">
        <v>78600</v>
      </c>
      <c r="F19" s="5" t="n">
        <v>16</v>
      </c>
      <c r="G19" s="7" t="n">
        <v>4910</v>
      </c>
      <c r="H19" s="12" t="n">
        <f aca="false">(E19-E7)/E7</f>
        <v>0.0508021390374332</v>
      </c>
    </row>
    <row r="20" customFormat="false" ht="15" hidden="false" customHeight="false" outlineLevel="0" collapsed="false">
      <c r="A20" s="8" t="n">
        <v>45017</v>
      </c>
      <c r="B20" s="9" t="n">
        <v>2023</v>
      </c>
      <c r="C20" s="9" t="n">
        <v>4</v>
      </c>
      <c r="D20" s="10" t="s">
        <v>14</v>
      </c>
      <c r="E20" s="11" t="n">
        <v>67900</v>
      </c>
      <c r="F20" s="9" t="n">
        <v>18</v>
      </c>
      <c r="G20" s="11" t="n">
        <v>3770</v>
      </c>
      <c r="H20" s="13" t="n">
        <f aca="false">(E20-E8)/E8</f>
        <v>-0.141592920353982</v>
      </c>
    </row>
    <row r="21" customFormat="false" ht="15" hidden="false" customHeight="false" outlineLevel="0" collapsed="false">
      <c r="A21" s="4" t="n">
        <v>45047</v>
      </c>
      <c r="B21" s="5" t="n">
        <v>2023</v>
      </c>
      <c r="C21" s="5" t="n">
        <v>5</v>
      </c>
      <c r="D21" s="6" t="s">
        <v>15</v>
      </c>
      <c r="E21" s="7" t="n">
        <v>69200</v>
      </c>
      <c r="F21" s="5" t="n">
        <v>13</v>
      </c>
      <c r="G21" s="7" t="n">
        <v>5320</v>
      </c>
      <c r="H21" s="12" t="n">
        <f aca="false">(E21-E9)/E9</f>
        <v>0.163025210084034</v>
      </c>
    </row>
    <row r="22" customFormat="false" ht="15" hidden="false" customHeight="false" outlineLevel="0" collapsed="false">
      <c r="A22" s="8" t="n">
        <v>45078</v>
      </c>
      <c r="B22" s="9" t="n">
        <v>2023</v>
      </c>
      <c r="C22" s="9" t="n">
        <v>6</v>
      </c>
      <c r="D22" s="10" t="s">
        <v>16</v>
      </c>
      <c r="E22" s="11" t="n">
        <v>63500</v>
      </c>
      <c r="F22" s="9" t="n">
        <v>11</v>
      </c>
      <c r="G22" s="11" t="n">
        <v>5770</v>
      </c>
      <c r="H22" s="13" t="n">
        <f aca="false">(E22-E10)/E10</f>
        <v>0.280241935483871</v>
      </c>
    </row>
    <row r="23" customFormat="false" ht="15" hidden="false" customHeight="false" outlineLevel="0" collapsed="false">
      <c r="A23" s="4" t="n">
        <v>45108</v>
      </c>
      <c r="B23" s="5" t="n">
        <v>2023</v>
      </c>
      <c r="C23" s="5" t="n">
        <v>7</v>
      </c>
      <c r="D23" s="6" t="s">
        <v>17</v>
      </c>
      <c r="E23" s="7" t="n">
        <v>35500</v>
      </c>
      <c r="F23" s="5" t="n">
        <v>3</v>
      </c>
      <c r="G23" s="7" t="n">
        <v>11830</v>
      </c>
      <c r="H23" s="12" t="n">
        <f aca="false">(E23-E11)/E11</f>
        <v>0.095679012345679</v>
      </c>
    </row>
    <row r="24" customFormat="false" ht="15" hidden="false" customHeight="false" outlineLevel="0" collapsed="false">
      <c r="A24" s="8" t="n">
        <v>45139</v>
      </c>
      <c r="B24" s="9" t="n">
        <v>2023</v>
      </c>
      <c r="C24" s="9" t="n">
        <v>8</v>
      </c>
      <c r="D24" s="10" t="s">
        <v>18</v>
      </c>
      <c r="E24" s="11" t="n">
        <v>22700</v>
      </c>
      <c r="F24" s="9" t="n">
        <v>5</v>
      </c>
      <c r="G24" s="11" t="n">
        <v>4540</v>
      </c>
      <c r="H24" s="13" t="n">
        <f aca="false">(E24-E12)/E12</f>
        <v>0.170103092783505</v>
      </c>
    </row>
    <row r="25" customFormat="false" ht="15" hidden="false" customHeight="false" outlineLevel="0" collapsed="false">
      <c r="A25" s="4" t="n">
        <v>45170</v>
      </c>
      <c r="B25" s="5" t="n">
        <v>2023</v>
      </c>
      <c r="C25" s="5" t="n">
        <v>9</v>
      </c>
      <c r="D25" s="6" t="s">
        <v>19</v>
      </c>
      <c r="E25" s="7" t="n">
        <v>100600</v>
      </c>
      <c r="F25" s="5" t="n">
        <v>22</v>
      </c>
      <c r="G25" s="7" t="n">
        <v>4570</v>
      </c>
      <c r="H25" s="12" t="n">
        <f aca="false">(E25-E13)/E13</f>
        <v>0.363143631436314</v>
      </c>
    </row>
    <row r="26" customFormat="false" ht="15" hidden="false" customHeight="false" outlineLevel="0" collapsed="false">
      <c r="A26" s="8" t="n">
        <v>45200</v>
      </c>
      <c r="B26" s="9" t="n">
        <v>2023</v>
      </c>
      <c r="C26" s="9" t="n">
        <v>10</v>
      </c>
      <c r="D26" s="10" t="s">
        <v>20</v>
      </c>
      <c r="E26" s="11" t="n">
        <v>94900</v>
      </c>
      <c r="F26" s="9" t="n">
        <v>20</v>
      </c>
      <c r="G26" s="11" t="n">
        <v>4740</v>
      </c>
      <c r="H26" s="13" t="n">
        <f aca="false">(E26-E14)/E14</f>
        <v>0.216666666666667</v>
      </c>
    </row>
    <row r="27" customFormat="false" ht="15" hidden="false" customHeight="false" outlineLevel="0" collapsed="false">
      <c r="A27" s="4" t="n">
        <v>45231</v>
      </c>
      <c r="B27" s="5" t="n">
        <v>2023</v>
      </c>
      <c r="C27" s="5" t="n">
        <v>11</v>
      </c>
      <c r="D27" s="6" t="s">
        <v>21</v>
      </c>
      <c r="E27" s="7" t="n">
        <v>63300</v>
      </c>
      <c r="F27" s="5" t="n">
        <v>12</v>
      </c>
      <c r="G27" s="7" t="n">
        <v>5280</v>
      </c>
      <c r="H27" s="12" t="n">
        <f aca="false">(E27-E15)/E15</f>
        <v>-0.23086269744836</v>
      </c>
    </row>
    <row r="28" customFormat="false" ht="15" hidden="false" customHeight="false" outlineLevel="0" collapsed="false">
      <c r="A28" s="8" t="n">
        <v>45261</v>
      </c>
      <c r="B28" s="9" t="n">
        <v>2023</v>
      </c>
      <c r="C28" s="9" t="n">
        <v>12</v>
      </c>
      <c r="D28" s="10" t="s">
        <v>22</v>
      </c>
      <c r="E28" s="11" t="n">
        <v>94600</v>
      </c>
      <c r="F28" s="9" t="n">
        <v>23</v>
      </c>
      <c r="G28" s="11" t="n">
        <v>4110</v>
      </c>
      <c r="H28" s="13" t="n">
        <f aca="false">(E28-E16)/E16</f>
        <v>0.0316248636859324</v>
      </c>
    </row>
    <row r="29" customFormat="false" ht="15" hidden="false" customHeight="false" outlineLevel="0" collapsed="false">
      <c r="A29" s="4" t="n">
        <v>45292</v>
      </c>
      <c r="B29" s="5" t="n">
        <v>2024</v>
      </c>
      <c r="C29" s="5" t="n">
        <v>1</v>
      </c>
      <c r="D29" s="6" t="s">
        <v>10</v>
      </c>
      <c r="E29" s="7" t="n">
        <v>101400</v>
      </c>
      <c r="F29" s="5" t="n">
        <v>19</v>
      </c>
      <c r="G29" s="7" t="n">
        <v>5340</v>
      </c>
      <c r="H29" s="12" t="n">
        <f aca="false">(E29-E17)/E17</f>
        <v>0.22463768115942</v>
      </c>
    </row>
    <row r="30" customFormat="false" ht="15" hidden="false" customHeight="false" outlineLevel="0" collapsed="false">
      <c r="A30" s="8" t="n">
        <v>45323</v>
      </c>
      <c r="B30" s="9" t="n">
        <v>2024</v>
      </c>
      <c r="C30" s="9" t="n">
        <v>2</v>
      </c>
      <c r="D30" s="10" t="s">
        <v>12</v>
      </c>
      <c r="E30" s="11" t="n">
        <v>92400</v>
      </c>
      <c r="F30" s="9" t="n">
        <v>19</v>
      </c>
      <c r="G30" s="11" t="n">
        <v>4860</v>
      </c>
      <c r="H30" s="13" t="n">
        <f aca="false">(E30-E18)/E18</f>
        <v>0.325681492109039</v>
      </c>
    </row>
    <row r="31" customFormat="false" ht="15" hidden="false" customHeight="false" outlineLevel="0" collapsed="false">
      <c r="A31" s="4" t="n">
        <v>45352</v>
      </c>
      <c r="B31" s="5" t="n">
        <v>2024</v>
      </c>
      <c r="C31" s="5" t="n">
        <v>3</v>
      </c>
      <c r="D31" s="6" t="s">
        <v>13</v>
      </c>
      <c r="E31" s="7" t="n">
        <v>85600</v>
      </c>
      <c r="F31" s="5" t="n">
        <v>20</v>
      </c>
      <c r="G31" s="7" t="n">
        <v>4280</v>
      </c>
      <c r="H31" s="12" t="n">
        <f aca="false">(E31-E19)/E19</f>
        <v>0.089058524173028</v>
      </c>
    </row>
    <row r="32" customFormat="false" ht="15" hidden="false" customHeight="false" outlineLevel="0" collapsed="false">
      <c r="A32" s="8" t="n">
        <v>45383</v>
      </c>
      <c r="B32" s="9" t="n">
        <v>2024</v>
      </c>
      <c r="C32" s="9" t="n">
        <v>4</v>
      </c>
      <c r="D32" s="10" t="s">
        <v>14</v>
      </c>
      <c r="E32" s="11" t="n">
        <v>90400</v>
      </c>
      <c r="F32" s="9" t="n">
        <v>21</v>
      </c>
      <c r="G32" s="11" t="n">
        <v>4300</v>
      </c>
      <c r="H32" s="13" t="n">
        <f aca="false">(E32-E20)/E20</f>
        <v>0.331369661266568</v>
      </c>
    </row>
    <row r="33" customFormat="false" ht="15" hidden="false" customHeight="false" outlineLevel="0" collapsed="false">
      <c r="A33" s="4" t="n">
        <v>45413</v>
      </c>
      <c r="B33" s="5" t="n">
        <v>2024</v>
      </c>
      <c r="C33" s="5" t="n">
        <v>5</v>
      </c>
      <c r="D33" s="6" t="s">
        <v>15</v>
      </c>
      <c r="E33" s="7" t="n">
        <v>68600</v>
      </c>
      <c r="F33" s="5" t="n">
        <v>14</v>
      </c>
      <c r="G33" s="7" t="n">
        <v>4900</v>
      </c>
      <c r="H33" s="12" t="n">
        <f aca="false">(E33-E21)/E21</f>
        <v>-0.00867052023121387</v>
      </c>
    </row>
    <row r="34" customFormat="false" ht="15" hidden="false" customHeight="false" outlineLevel="0" collapsed="false">
      <c r="A34" s="8" t="n">
        <v>45444</v>
      </c>
      <c r="B34" s="9" t="n">
        <v>2024</v>
      </c>
      <c r="C34" s="9" t="n">
        <v>6</v>
      </c>
      <c r="D34" s="10" t="s">
        <v>16</v>
      </c>
      <c r="E34" s="11" t="n">
        <v>66100</v>
      </c>
      <c r="F34" s="9" t="n">
        <v>16</v>
      </c>
      <c r="G34" s="11" t="n">
        <v>4130</v>
      </c>
      <c r="H34" s="13" t="n">
        <f aca="false">(E34-E22)/E22</f>
        <v>0.0409448818897638</v>
      </c>
    </row>
    <row r="35" customFormat="false" ht="15" hidden="false" customHeight="false" outlineLevel="0" collapsed="false">
      <c r="A35" s="4" t="n">
        <v>45474</v>
      </c>
      <c r="B35" s="5" t="n">
        <v>2024</v>
      </c>
      <c r="C35" s="5" t="n">
        <v>7</v>
      </c>
      <c r="D35" s="6" t="s">
        <v>17</v>
      </c>
      <c r="E35" s="7" t="n">
        <v>35900</v>
      </c>
      <c r="F35" s="5" t="n">
        <v>7</v>
      </c>
      <c r="G35" s="7" t="n">
        <v>5130</v>
      </c>
      <c r="H35" s="12" t="n">
        <f aca="false">(E35-E23)/E23</f>
        <v>0.0112676056338028</v>
      </c>
    </row>
    <row r="36" customFormat="false" ht="15" hidden="false" customHeight="false" outlineLevel="0" collapsed="false">
      <c r="A36" s="8" t="n">
        <v>45505</v>
      </c>
      <c r="B36" s="9" t="n">
        <v>2024</v>
      </c>
      <c r="C36" s="9" t="n">
        <v>8</v>
      </c>
      <c r="D36" s="10" t="s">
        <v>18</v>
      </c>
      <c r="E36" s="11" t="n">
        <v>25700</v>
      </c>
      <c r="F36" s="9" t="n">
        <v>3</v>
      </c>
      <c r="G36" s="11" t="n">
        <v>8570</v>
      </c>
      <c r="H36" s="13" t="n">
        <f aca="false">(E36-E24)/E24</f>
        <v>0.13215859030837</v>
      </c>
    </row>
    <row r="37" customFormat="false" ht="15" hidden="false" customHeight="false" outlineLevel="0" collapsed="false">
      <c r="A37" s="4" t="n">
        <v>45536</v>
      </c>
      <c r="B37" s="5" t="n">
        <v>2024</v>
      </c>
      <c r="C37" s="5" t="n">
        <v>9</v>
      </c>
      <c r="D37" s="6" t="s">
        <v>19</v>
      </c>
      <c r="E37" s="7" t="n">
        <v>111600</v>
      </c>
      <c r="F37" s="5" t="n">
        <v>27</v>
      </c>
      <c r="G37" s="7" t="n">
        <v>4130</v>
      </c>
      <c r="H37" s="12" t="n">
        <f aca="false">(E37-E25)/E25</f>
        <v>0.10934393638171</v>
      </c>
    </row>
    <row r="38" customFormat="false" ht="15" hidden="false" customHeight="false" outlineLevel="0" collapsed="false">
      <c r="A38" s="8" t="n">
        <v>45566</v>
      </c>
      <c r="B38" s="9" t="n">
        <v>2024</v>
      </c>
      <c r="C38" s="9" t="n">
        <v>10</v>
      </c>
      <c r="D38" s="10" t="s">
        <v>20</v>
      </c>
      <c r="E38" s="11" t="n">
        <v>105000</v>
      </c>
      <c r="F38" s="9" t="n">
        <v>25</v>
      </c>
      <c r="G38" s="11" t="n">
        <v>4200</v>
      </c>
      <c r="H38" s="13" t="n">
        <f aca="false">(E38-E26)/E26</f>
        <v>0.106427818756586</v>
      </c>
    </row>
    <row r="39" customFormat="false" ht="15" hidden="false" customHeight="false" outlineLevel="0" collapsed="false">
      <c r="A39" s="4" t="n">
        <v>45597</v>
      </c>
      <c r="B39" s="5" t="n">
        <v>2024</v>
      </c>
      <c r="C39" s="5" t="n">
        <v>11</v>
      </c>
      <c r="D39" s="6" t="s">
        <v>21</v>
      </c>
      <c r="E39" s="7" t="n">
        <v>88400</v>
      </c>
      <c r="F39" s="5" t="n">
        <v>18</v>
      </c>
      <c r="G39" s="7" t="n">
        <v>4910</v>
      </c>
      <c r="H39" s="12" t="n">
        <f aca="false">(E39-E27)/E27</f>
        <v>0.39652448657188</v>
      </c>
    </row>
    <row r="40" customFormat="false" ht="15" hidden="false" customHeight="false" outlineLevel="0" collapsed="false">
      <c r="A40" s="8" t="n">
        <v>45627</v>
      </c>
      <c r="B40" s="9" t="n">
        <v>2024</v>
      </c>
      <c r="C40" s="9" t="n">
        <v>12</v>
      </c>
      <c r="D40" s="10" t="s">
        <v>22</v>
      </c>
      <c r="E40" s="11" t="n">
        <v>114900</v>
      </c>
      <c r="F40" s="9" t="n">
        <v>28</v>
      </c>
      <c r="G40" s="11" t="n">
        <v>4100</v>
      </c>
      <c r="H40" s="13" t="n">
        <f aca="false">(E40-E28)/E28</f>
        <v>0.214587737843552</v>
      </c>
    </row>
    <row r="41" customFormat="false" ht="15" hidden="false" customHeight="false" outlineLevel="0" collapsed="false">
      <c r="A41" s="4" t="n">
        <v>45658</v>
      </c>
      <c r="B41" s="5" t="n">
        <v>2025</v>
      </c>
      <c r="C41" s="5" t="n">
        <v>1</v>
      </c>
      <c r="D41" s="6" t="s">
        <v>10</v>
      </c>
      <c r="E41" s="7" t="n">
        <v>106600</v>
      </c>
      <c r="F41" s="5" t="n">
        <v>26</v>
      </c>
      <c r="G41" s="7" t="n">
        <v>4100</v>
      </c>
      <c r="H41" s="12" t="n">
        <f aca="false">(E41-E29)/E29</f>
        <v>0.0512820512820513</v>
      </c>
    </row>
    <row r="42" customFormat="false" ht="15" hidden="false" customHeight="false" outlineLevel="0" collapsed="false">
      <c r="A42" s="8" t="n">
        <v>45689</v>
      </c>
      <c r="B42" s="9" t="n">
        <v>2025</v>
      </c>
      <c r="C42" s="9" t="n">
        <v>2</v>
      </c>
      <c r="D42" s="10" t="s">
        <v>12</v>
      </c>
      <c r="E42" s="11" t="n">
        <v>67000</v>
      </c>
      <c r="F42" s="9" t="n">
        <v>16</v>
      </c>
      <c r="G42" s="11" t="n">
        <v>4190</v>
      </c>
      <c r="H42" s="13" t="n">
        <f aca="false">(E42-E30)/E30</f>
        <v>-0.274891774891775</v>
      </c>
    </row>
    <row r="43" customFormat="false" ht="15" hidden="false" customHeight="false" outlineLevel="0" collapsed="false">
      <c r="A43" s="4" t="n">
        <v>45717</v>
      </c>
      <c r="B43" s="5" t="n">
        <v>2025</v>
      </c>
      <c r="C43" s="5" t="n">
        <v>3</v>
      </c>
      <c r="D43" s="6" t="s">
        <v>13</v>
      </c>
      <c r="E43" s="7" t="n">
        <v>103500</v>
      </c>
      <c r="F43" s="5" t="n">
        <v>22</v>
      </c>
      <c r="G43" s="7" t="n">
        <v>4700</v>
      </c>
      <c r="H43" s="12" t="n">
        <f aca="false">(E43-E31)/E31</f>
        <v>0.20911214953271</v>
      </c>
    </row>
    <row r="44" customFormat="false" ht="15" hidden="false" customHeight="false" outlineLevel="0" collapsed="false">
      <c r="A44" s="8" t="n">
        <v>45748</v>
      </c>
      <c r="B44" s="9" t="n">
        <v>2025</v>
      </c>
      <c r="C44" s="9" t="n">
        <v>4</v>
      </c>
      <c r="D44" s="10" t="s">
        <v>14</v>
      </c>
      <c r="E44" s="11" t="n">
        <v>89400</v>
      </c>
      <c r="F44" s="9" t="n">
        <v>15</v>
      </c>
      <c r="G44" s="11" t="n">
        <v>5960</v>
      </c>
      <c r="H44" s="13" t="n">
        <f aca="false">(E44-E32)/E32</f>
        <v>-0.0110619469026549</v>
      </c>
    </row>
    <row r="45" customFormat="false" ht="15" hidden="false" customHeight="false" outlineLevel="0" collapsed="false">
      <c r="A45" s="4" t="n">
        <v>45778</v>
      </c>
      <c r="B45" s="5" t="n">
        <v>2025</v>
      </c>
      <c r="C45" s="5" t="n">
        <v>5</v>
      </c>
      <c r="D45" s="6" t="s">
        <v>15</v>
      </c>
      <c r="E45" s="7" t="n">
        <v>81600</v>
      </c>
      <c r="F45" s="5" t="n">
        <v>18</v>
      </c>
      <c r="G45" s="7" t="n">
        <v>4530</v>
      </c>
      <c r="H45" s="12" t="n">
        <f aca="false">(E45-E33)/E33</f>
        <v>0.189504373177843</v>
      </c>
    </row>
    <row r="46" customFormat="false" ht="15" hidden="false" customHeight="false" outlineLevel="0" collapsed="false">
      <c r="A46" s="8" t="n">
        <v>45809</v>
      </c>
      <c r="B46" s="9" t="n">
        <v>2025</v>
      </c>
      <c r="C46" s="9" t="n">
        <v>6</v>
      </c>
      <c r="D46" s="10" t="s">
        <v>16</v>
      </c>
      <c r="E46" s="11" t="n">
        <v>82200</v>
      </c>
      <c r="F46" s="9" t="n">
        <v>17</v>
      </c>
      <c r="G46" s="11" t="n">
        <v>4840</v>
      </c>
      <c r="H46" s="13" t="n">
        <f aca="false">(E46-E34)/E34</f>
        <v>0.24357034795764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3"/>
  </cols>
  <sheetData>
    <row r="1" customFormat="false" ht="16.15" hidden="false" customHeight="false" outlineLevel="0" collapsed="false">
      <c r="A1" s="14" t="s">
        <v>23</v>
      </c>
      <c r="B1" s="14"/>
      <c r="C1" s="14"/>
      <c r="D1" s="14"/>
      <c r="E1" s="14"/>
      <c r="F1" s="14"/>
    </row>
    <row r="3" customFormat="false" ht="15" hidden="false" customHeight="false" outlineLevel="0" collapsed="false">
      <c r="A3" s="3" t="s">
        <v>3</v>
      </c>
      <c r="B3" s="3" t="s">
        <v>24</v>
      </c>
      <c r="C3" s="3" t="s">
        <v>7</v>
      </c>
      <c r="D3" s="3" t="s">
        <v>25</v>
      </c>
      <c r="E3" s="3" t="s">
        <v>26</v>
      </c>
      <c r="F3" s="3" t="s">
        <v>9</v>
      </c>
    </row>
    <row r="4" customFormat="false" ht="15" hidden="false" customHeight="false" outlineLevel="0" collapsed="false">
      <c r="A4" s="15" t="n">
        <v>2022</v>
      </c>
      <c r="B4" s="16" t="n">
        <f aca="false">SUMIF('Monthly Revenue'!B:B,A4,'Monthly Revenue'!E:E)</f>
        <v>805100</v>
      </c>
      <c r="C4" s="15" t="n">
        <f aca="false">SUMIF('Monthly Revenue'!B:B,A4,'Monthly Revenue'!F:F)</f>
        <v>168</v>
      </c>
      <c r="D4" s="16" t="n">
        <f aca="false">B4/12</f>
        <v>67091.6666666667</v>
      </c>
      <c r="E4" s="16" t="n">
        <f aca="false">AVERAGEIF('Monthly Revenue'!B:B,A4,'Monthly Revenue'!G:G)</f>
        <v>5346.66666666667</v>
      </c>
      <c r="F4" s="15" t="s">
        <v>11</v>
      </c>
    </row>
    <row r="5" customFormat="false" ht="15" hidden="false" customHeight="false" outlineLevel="0" collapsed="false">
      <c r="A5" s="17" t="n">
        <v>2023</v>
      </c>
      <c r="B5" s="18" t="n">
        <f aca="false">SUMIF('Monthly Revenue'!B:B,A5,'Monthly Revenue'!E:E)</f>
        <v>843300</v>
      </c>
      <c r="C5" s="17" t="n">
        <f aca="false">SUMIF('Monthly Revenue'!B:B,A5,'Monthly Revenue'!F:F)</f>
        <v>177</v>
      </c>
      <c r="D5" s="18" t="n">
        <f aca="false">B5/12</f>
        <v>70275</v>
      </c>
      <c r="E5" s="18" t="n">
        <f aca="false">AVERAGEIF('Monthly Revenue'!B:B,A5,'Monthly Revenue'!G:G)</f>
        <v>5316.66666666667</v>
      </c>
      <c r="F5" s="13" t="n">
        <f aca="false">(B5-B4)/B4</f>
        <v>0.0474475220469507</v>
      </c>
    </row>
    <row r="6" customFormat="false" ht="15" hidden="false" customHeight="false" outlineLevel="0" collapsed="false">
      <c r="A6" s="15" t="n">
        <v>2024</v>
      </c>
      <c r="B6" s="16" t="n">
        <f aca="false">SUMIF('Monthly Revenue'!B:B,A6,'Monthly Revenue'!E:E)</f>
        <v>986000</v>
      </c>
      <c r="C6" s="15" t="n">
        <f aca="false">SUMIF('Monthly Revenue'!B:B,A6,'Monthly Revenue'!F:F)</f>
        <v>217</v>
      </c>
      <c r="D6" s="16" t="n">
        <f aca="false">B6/12</f>
        <v>82166.6666666667</v>
      </c>
      <c r="E6" s="16" t="n">
        <f aca="false">AVERAGEIF('Monthly Revenue'!B:B,A6,'Monthly Revenue'!G:G)</f>
        <v>4904.16666666667</v>
      </c>
      <c r="F6" s="12" t="n">
        <f aca="false">(B6-B5)/B5</f>
        <v>0.169216174552354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4" t="s">
        <v>27</v>
      </c>
      <c r="B1" s="14"/>
      <c r="C1" s="14"/>
    </row>
    <row r="3" customFormat="false" ht="15" hidden="false" customHeight="false" outlineLevel="0" collapsed="false">
      <c r="A3" s="19" t="s">
        <v>28</v>
      </c>
      <c r="B3" s="20" t="n">
        <v>70000</v>
      </c>
    </row>
    <row r="4" customFormat="false" ht="15" hidden="false" customHeight="false" outlineLevel="0" collapsed="false">
      <c r="A4" s="19" t="s">
        <v>29</v>
      </c>
      <c r="B4" s="20" t="s">
        <v>30</v>
      </c>
    </row>
    <row r="5" customFormat="false" ht="15" hidden="false" customHeight="false" outlineLevel="0" collapsed="false">
      <c r="A5" s="19" t="s">
        <v>31</v>
      </c>
      <c r="B5" s="20" t="s">
        <v>32</v>
      </c>
    </row>
    <row r="6" customFormat="false" ht="15" hidden="false" customHeight="false" outlineLevel="0" collapsed="false">
      <c r="A6" s="19" t="s">
        <v>33</v>
      </c>
      <c r="B6" s="20" t="s">
        <v>34</v>
      </c>
    </row>
    <row r="7" customFormat="false" ht="15" hidden="false" customHeight="false" outlineLevel="0" collapsed="false">
      <c r="A7" s="19" t="s">
        <v>35</v>
      </c>
      <c r="B7" s="20" t="n">
        <v>0.35</v>
      </c>
    </row>
    <row r="8" customFormat="false" ht="15" hidden="false" customHeight="false" outlineLevel="0" collapsed="false">
      <c r="A8" s="19" t="s">
        <v>36</v>
      </c>
      <c r="B8" s="20" t="n">
        <v>1.25</v>
      </c>
    </row>
    <row r="9" customFormat="false" ht="15" hidden="false" customHeight="false" outlineLevel="0" collapsed="false">
      <c r="A9" s="19" t="s">
        <v>37</v>
      </c>
      <c r="B9" s="20" t="n">
        <v>1.3</v>
      </c>
    </row>
    <row r="10" customFormat="false" ht="15" hidden="false" customHeight="false" outlineLevel="0" collapsed="false">
      <c r="A10" s="19" t="s">
        <v>38</v>
      </c>
      <c r="B10" s="20" t="s">
        <v>39</v>
      </c>
    </row>
    <row r="11" customFormat="false" ht="15" hidden="false" customHeight="false" outlineLevel="0" collapsed="false">
      <c r="A11" s="19" t="s">
        <v>40</v>
      </c>
      <c r="B11" s="20" t="n">
        <v>42</v>
      </c>
    </row>
    <row r="12" customFormat="false" ht="15" hidden="false" customHeight="false" outlineLevel="0" collapsed="false">
      <c r="A12" s="19" t="s">
        <v>41</v>
      </c>
      <c r="B12" s="20" t="s">
        <v>42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2026-03-25T09:18:11Z</dcterms:created>
  <dc:creator>openpyxl</dc:creator>
  <dc:description/>
  <dc:language>en-US</dc:language>
  <cp:lastModifiedBy/>
  <dcterms:modified xsi:type="dcterms:W3CDTF">2026-03-25T09:18:11Z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